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130" yWindow="610" windowWidth="18880" windowHeight="6490" activeTab="1"/>
  </bookViews>
  <sheets>
    <sheet name="Pivot Tables" sheetId="2" r:id="rId1"/>
    <sheet name="Attendance Data" sheetId="1" r:id="rId2"/>
  </sheets>
  <definedNames>
    <definedName name="Slicer_Date">#N/A</definedName>
    <definedName name="Slicer_Department">#N/A</definedName>
    <definedName name="Slicer_Employee_Name">#N/A</definedName>
  </definedNames>
  <calcPr calcId="144525"/>
  <pivotCaches>
    <pivotCache cacheId="8" r:id="rId3"/>
  </pivotCaches>
  <extLst>
    <ext xmlns:x14="http://schemas.microsoft.com/office/spreadsheetml/2009/9/main" uri="{BBE1A952-AA13-448e-AADC-164F8A28A991}">
      <x14:slicerCaches>
        <x14:slicerCache r:id="rId4"/>
        <x14:slicerCache r:id="rId5"/>
        <x14:slicerCache r:id="rId6"/>
      </x14:slicerCaches>
    </ext>
    <ext xmlns:x14="http://schemas.microsoft.com/office/spreadsheetml/2009/9/main" uri="{79F54976-1DA5-4618-B147-4CDE4B953A38}">
      <x14:workbookPr/>
    </ext>
  </extLst>
</workbook>
</file>

<file path=xl/calcChain.xml><?xml version="1.0" encoding="utf-8"?>
<calcChain xmlns="http://schemas.openxmlformats.org/spreadsheetml/2006/main">
  <c r="I2" i="1" l="1"/>
  <c r="I3" i="1"/>
  <c r="I4" i="1"/>
  <c r="I5" i="1"/>
  <c r="I6" i="1"/>
  <c r="I7" i="1"/>
  <c r="I8" i="1"/>
  <c r="I9" i="1"/>
  <c r="I10" i="1"/>
  <c r="I11" i="1"/>
  <c r="I12" i="1"/>
  <c r="I13" i="1"/>
  <c r="H2" i="1"/>
  <c r="H3" i="1"/>
  <c r="H4" i="1"/>
  <c r="H5" i="1"/>
  <c r="H6" i="1"/>
  <c r="H7" i="1"/>
  <c r="H8" i="1"/>
  <c r="H9" i="1"/>
  <c r="H10" i="1"/>
  <c r="H11" i="1"/>
  <c r="H12" i="1"/>
  <c r="H13" i="1"/>
</calcChain>
</file>

<file path=xl/sharedStrings.xml><?xml version="1.0" encoding="utf-8"?>
<sst xmlns="http://schemas.openxmlformats.org/spreadsheetml/2006/main" count="105" uniqueCount="41">
  <si>
    <t>Employee ID</t>
  </si>
  <si>
    <t>Employee Name</t>
  </si>
  <si>
    <t>Department</t>
  </si>
  <si>
    <t>Date</t>
  </si>
  <si>
    <t>Status</t>
  </si>
  <si>
    <t>Check In Time</t>
  </si>
  <si>
    <t>Check Out Time</t>
  </si>
  <si>
    <t>Ali</t>
  </si>
  <si>
    <t>Finance</t>
  </si>
  <si>
    <t>2025-01-01</t>
  </si>
  <si>
    <t>Present</t>
  </si>
  <si>
    <t>09:00</t>
  </si>
  <si>
    <t>17:00</t>
  </si>
  <si>
    <t>Sara</t>
  </si>
  <si>
    <t>HR</t>
  </si>
  <si>
    <t>09:15</t>
  </si>
  <si>
    <t>17:10</t>
  </si>
  <si>
    <t>Ahmed</t>
  </si>
  <si>
    <t>IT</t>
  </si>
  <si>
    <t>Absent</t>
  </si>
  <si>
    <t>Ayesha</t>
  </si>
  <si>
    <t>08:55</t>
  </si>
  <si>
    <t>17:05</t>
  </si>
  <si>
    <t>2025-01-02</t>
  </si>
  <si>
    <t>Late</t>
  </si>
  <si>
    <t>09:40</t>
  </si>
  <si>
    <t>09:05</t>
  </si>
  <si>
    <t>17:20</t>
  </si>
  <si>
    <t>2025-01-03</t>
  </si>
  <si>
    <t>09:35</t>
  </si>
  <si>
    <t>09:10</t>
  </si>
  <si>
    <t>17:15</t>
  </si>
  <si>
    <t>NA</t>
  </si>
  <si>
    <t>Working Hours</t>
  </si>
  <si>
    <t>Attendence Flag</t>
  </si>
  <si>
    <t>Grand Total</t>
  </si>
  <si>
    <t>Count of Status</t>
  </si>
  <si>
    <t>Count of Present</t>
  </si>
  <si>
    <t>Present Employes</t>
  </si>
  <si>
    <t>Present Attendence by Department</t>
  </si>
  <si>
    <t>Late Employes</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</si>
</sst>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F400]h:mm:ss\ AM/PM"/>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164" fontId="0" fillId="0" borderId="0" xfId="0" applyNumberFormat="1"/>
    <xf numFmtId="14" fontId="0" fillId="0" borderId="0" xfId="0" applyNumberFormat="1"/>
    <xf numFmtId="20" fontId="0" fillId="0" borderId="0" xfId="0" applyNumberFormat="1"/>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2">
    <dxf>
      <numFmt numFmtId="0" formatCode="General"/>
    </dxf>
    <dxf>
      <numFmt numFmtId="25" formatCode="h:mm"/>
    </dxf>
  </dxf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5" Type="http://schemas.microsoft.com/office/2007/relationships/slicerCache" Target="slicerCaches/slicerCache2.xml"/><Relationship Id="rId10" Type="http://schemas.openxmlformats.org/officeDocument/2006/relationships/calcChain" Target="calcChain.xml"/><Relationship Id="rId4" Type="http://schemas.microsoft.com/office/2007/relationships/slicerCache" Target="slicerCaches/slicerCache1.xml"/><Relationship Id="rId9"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[Employee_Attendance_Data.xlsx]Pivot Tables!PivotTable2</c:name>
    <c:fmtId val="0"/>
  </c:pivotSource>
  <c:chart>
    <c:title>
      <c:overlay val="0"/>
    </c:title>
    <c:autoTitleDeleted val="0"/>
    <c:pivotFmts>
      <c:pivotFmt>
        <c:idx val="0"/>
        <c:marker>
          <c:symbol val="none"/>
        </c:marker>
      </c:pivotFmt>
    </c:pivotFmts>
    <c:plotArea>
      <c:layout/>
      <c:barChart>
        <c:barDir val="col"/>
        <c:grouping val="stacked"/>
        <c:varyColors val="0"/>
        <c:ser>
          <c:idx val="0"/>
          <c:order val="0"/>
          <c:tx>
            <c:strRef>
              <c:f>'Pivot Tables'!$E$3</c:f>
              <c:strCache>
                <c:ptCount val="1"/>
                <c:pt idx="0">
                  <c:v>Total</c:v>
                </c:pt>
              </c:strCache>
            </c:strRef>
          </c:tx>
          <c:invertIfNegative val="0"/>
          <c:cat>
            <c:strRef>
              <c:f>'Pivot Tables'!$D$4:$D$7</c:f>
              <c:strCache>
                <c:ptCount val="3"/>
                <c:pt idx="0">
                  <c:v>Finance</c:v>
                </c:pt>
                <c:pt idx="1">
                  <c:v>HR</c:v>
                </c:pt>
                <c:pt idx="2">
                  <c:v>IT</c:v>
                </c:pt>
              </c:strCache>
            </c:strRef>
          </c:cat>
          <c:val>
            <c:numRef>
              <c:f>'Pivot Tables'!$E$4:$E$7</c:f>
              <c:numCache>
                <c:formatCode>General</c:formatCode>
                <c:ptCount val="3"/>
                <c:pt idx="0">
                  <c:v>4</c:v>
                </c:pt>
                <c:pt idx="1">
                  <c:v>2</c:v>
                </c:pt>
                <c:pt idx="2">
                  <c:v>2</c:v>
                </c:pt>
              </c:numCache>
            </c:numRef>
          </c:val>
        </c:ser>
        <c:dLbls>
          <c:showLegendKey val="0"/>
          <c:showVal val="0"/>
          <c:showCatName val="0"/>
          <c:showSerName val="0"/>
          <c:showPercent val="0"/>
          <c:showBubbleSize val="0"/>
        </c:dLbls>
        <c:gapWidth val="150"/>
        <c:overlap val="100"/>
        <c:axId val="42714240"/>
        <c:axId val="130895872"/>
      </c:barChart>
      <c:catAx>
        <c:axId val="42714240"/>
        <c:scaling>
          <c:orientation val="minMax"/>
        </c:scaling>
        <c:delete val="0"/>
        <c:axPos val="b"/>
        <c:majorTickMark val="out"/>
        <c:minorTickMark val="none"/>
        <c:tickLblPos val="nextTo"/>
        <c:crossAx val="130895872"/>
        <c:crosses val="autoZero"/>
        <c:auto val="1"/>
        <c:lblAlgn val="ctr"/>
        <c:lblOffset val="100"/>
        <c:noMultiLvlLbl val="0"/>
      </c:catAx>
      <c:valAx>
        <c:axId val="130895872"/>
        <c:scaling>
          <c:orientation val="minMax"/>
        </c:scaling>
        <c:delete val="0"/>
        <c:axPos val="l"/>
        <c:majorGridlines/>
        <c:numFmt formatCode="General" sourceLinked="1"/>
        <c:majorTickMark val="out"/>
        <c:minorTickMark val="none"/>
        <c:tickLblPos val="nextTo"/>
        <c:crossAx val="42714240"/>
        <c:crosses val="autoZero"/>
        <c:crossBetween val="between"/>
      </c:valAx>
    </c:plotArea>
    <c:legend>
      <c:legendPos val="r"/>
      <c:overlay val="0"/>
    </c:legend>
    <c:plotVisOnly val="1"/>
    <c:dispBlanksAs val="gap"/>
    <c:showDLblsOverMax val="0"/>
  </c:chart>
  <c:spPr>
    <a:ln w="28575">
      <a:solidFill>
        <a:srgbClr val="0070C0"/>
      </a:solid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[Employee_Attendance_Data.xlsx]Pivot Tables!PivotTable1</c:name>
    <c:fmtId val="0"/>
  </c:pivotSource>
  <c:chart>
    <c:title>
      <c:overlay val="0"/>
    </c:title>
    <c:autoTitleDeleted val="0"/>
    <c:pivotFmts>
      <c:pivotFmt>
        <c:idx val="0"/>
        <c:marker>
          <c:symbol val="none"/>
        </c:marker>
      </c:pivotFmt>
    </c:pivotFmts>
    <c:plotArea>
      <c:layout/>
      <c:barChart>
        <c:barDir val="bar"/>
        <c:grouping val="stacked"/>
        <c:varyColors val="0"/>
        <c:ser>
          <c:idx val="0"/>
          <c:order val="0"/>
          <c:tx>
            <c:strRef>
              <c:f>'Pivot Tables'!$B$3</c:f>
              <c:strCache>
                <c:ptCount val="1"/>
                <c:pt idx="0">
                  <c:v>Total</c:v>
                </c:pt>
              </c:strCache>
            </c:strRef>
          </c:tx>
          <c:invertIfNegative val="0"/>
          <c:cat>
            <c:strRef>
              <c:f>'Pivot Tables'!$A$4:$A$8</c:f>
              <c:strCache>
                <c:ptCount val="4"/>
                <c:pt idx="0">
                  <c:v>Ahmed</c:v>
                </c:pt>
                <c:pt idx="1">
                  <c:v>Ali</c:v>
                </c:pt>
                <c:pt idx="2">
                  <c:v>Ayesha</c:v>
                </c:pt>
                <c:pt idx="3">
                  <c:v>Sara</c:v>
                </c:pt>
              </c:strCache>
            </c:strRef>
          </c:cat>
          <c:val>
            <c:numRef>
              <c:f>'Pivot Tables'!$B$4:$B$8</c:f>
              <c:numCache>
                <c:formatCode>General</c:formatCode>
                <c:ptCount val="4"/>
                <c:pt idx="0">
                  <c:v>2</c:v>
                </c:pt>
                <c:pt idx="1">
                  <c:v>2</c:v>
                </c:pt>
                <c:pt idx="2">
                  <c:v>2</c:v>
                </c:pt>
                <c:pt idx="3">
                  <c:v>2</c:v>
                </c:pt>
              </c:numCache>
            </c:numRef>
          </c:val>
        </c:ser>
        <c:dLbls>
          <c:showLegendKey val="0"/>
          <c:showVal val="0"/>
          <c:showCatName val="0"/>
          <c:showSerName val="0"/>
          <c:showPercent val="0"/>
          <c:showBubbleSize val="0"/>
        </c:dLbls>
        <c:gapWidth val="150"/>
        <c:overlap val="100"/>
        <c:axId val="131053056"/>
        <c:axId val="131054976"/>
      </c:barChart>
      <c:catAx>
        <c:axId val="131053056"/>
        <c:scaling>
          <c:orientation val="minMax"/>
        </c:scaling>
        <c:delete val="0"/>
        <c:axPos val="l"/>
        <c:majorTickMark val="out"/>
        <c:minorTickMark val="none"/>
        <c:tickLblPos val="nextTo"/>
        <c:crossAx val="131054976"/>
        <c:crosses val="autoZero"/>
        <c:auto val="1"/>
        <c:lblAlgn val="ctr"/>
        <c:lblOffset val="100"/>
        <c:noMultiLvlLbl val="0"/>
      </c:catAx>
      <c:valAx>
        <c:axId val="131054976"/>
        <c:scaling>
          <c:orientation val="minMax"/>
        </c:scaling>
        <c:delete val="0"/>
        <c:axPos val="b"/>
        <c:majorGridlines/>
        <c:numFmt formatCode="General" sourceLinked="1"/>
        <c:majorTickMark val="out"/>
        <c:minorTickMark val="none"/>
        <c:tickLblPos val="nextTo"/>
        <c:crossAx val="131053056"/>
        <c:crosses val="autoZero"/>
        <c:crossBetween val="between"/>
      </c:valAx>
    </c:plotArea>
    <c:legend>
      <c:legendPos val="r"/>
      <c:overlay val="0"/>
    </c:legend>
    <c:plotVisOnly val="1"/>
    <c:dispBlanksAs val="gap"/>
    <c:showDLblsOverMax val="0"/>
  </c:chart>
  <c:spPr>
    <a:ln w="28575">
      <a:solidFill>
        <a:srgbClr val="0070C0"/>
      </a:solid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[Employee_Attendance_Data.xlsx]Pivot Tables!PivotTable3</c:name>
    <c:fmtId val="0"/>
  </c:pivotSource>
  <c:chart>
    <c:title>
      <c:overlay val="0"/>
      <c:spPr>
        <a:ln>
          <a:solidFill>
            <a:srgbClr val="0070C0"/>
          </a:solidFill>
        </a:ln>
      </c:spPr>
    </c:title>
    <c:autoTitleDeleted val="0"/>
    <c:pivotFmts>
      <c:pivotFmt>
        <c:idx val="0"/>
        <c:marker>
          <c:symbol val="none"/>
        </c:marker>
      </c:pivotFmt>
    </c:pivotFmts>
    <c:plotArea>
      <c:layout/>
      <c:lineChart>
        <c:grouping val="standard"/>
        <c:varyColors val="0"/>
        <c:ser>
          <c:idx val="0"/>
          <c:order val="0"/>
          <c:tx>
            <c:strRef>
              <c:f>'Pivot Tables'!$H$3</c:f>
              <c:strCache>
                <c:ptCount val="1"/>
                <c:pt idx="0">
                  <c:v>Total</c:v>
                </c:pt>
              </c:strCache>
            </c:strRef>
          </c:tx>
          <c:marker>
            <c:symbol val="none"/>
          </c:marker>
          <c:cat>
            <c:strRef>
              <c:f>'Pivot Tables'!$G$4:$G$6</c:f>
              <c:strCache>
                <c:ptCount val="2"/>
                <c:pt idx="0">
                  <c:v>Ali</c:v>
                </c:pt>
                <c:pt idx="1">
                  <c:v>Sara</c:v>
                </c:pt>
              </c:strCache>
            </c:strRef>
          </c:cat>
          <c:val>
            <c:numRef>
              <c:f>'Pivot Tables'!$H$4:$H$6</c:f>
              <c:numCache>
                <c:formatCode>General</c:formatCode>
                <c:ptCount val="2"/>
                <c:pt idx="0">
                  <c:v>1</c:v>
                </c:pt>
                <c:pt idx="1">
                  <c:v>1</c:v>
                </c:pt>
              </c:numCache>
            </c:numRef>
          </c:val>
          <c:smooth val="0"/>
        </c:ser>
        <c:dLbls>
          <c:showLegendKey val="0"/>
          <c:showVal val="0"/>
          <c:showCatName val="0"/>
          <c:showSerName val="0"/>
          <c:showPercent val="0"/>
          <c:showBubbleSize val="0"/>
        </c:dLbls>
        <c:marker val="1"/>
        <c:smooth val="0"/>
        <c:axId val="131441792"/>
        <c:axId val="131443328"/>
      </c:lineChart>
      <c:catAx>
        <c:axId val="131441792"/>
        <c:scaling>
          <c:orientation val="minMax"/>
        </c:scaling>
        <c:delete val="0"/>
        <c:axPos val="b"/>
        <c:majorTickMark val="none"/>
        <c:minorTickMark val="none"/>
        <c:tickLblPos val="nextTo"/>
        <c:crossAx val="131443328"/>
        <c:crosses val="autoZero"/>
        <c:auto val="1"/>
        <c:lblAlgn val="ctr"/>
        <c:lblOffset val="100"/>
        <c:noMultiLvlLbl val="0"/>
      </c:catAx>
      <c:valAx>
        <c:axId val="131443328"/>
        <c:scaling>
          <c:orientation val="minMax"/>
        </c:scaling>
        <c:delete val="0"/>
        <c:axPos val="l"/>
        <c:majorGridlines/>
        <c:title>
          <c:overlay val="0"/>
        </c:title>
        <c:numFmt formatCode="General" sourceLinked="1"/>
        <c:majorTickMark val="none"/>
        <c:minorTickMark val="none"/>
        <c:tickLblPos val="nextTo"/>
        <c:crossAx val="131441792"/>
        <c:crosses val="autoZero"/>
        <c:crossBetween val="between"/>
      </c:valAx>
    </c:plotArea>
    <c:legend>
      <c:legendPos val="r"/>
      <c:overlay val="0"/>
    </c:legend>
    <c:plotVisOnly val="1"/>
    <c:dispBlanksAs val="gap"/>
    <c:showDLblsOverMax val="0"/>
  </c:chart>
  <c:spPr>
    <a:ln w="25400">
      <a:solidFill>
        <a:srgbClr val="0070C0"/>
      </a:solid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581025</xdr:colOff>
      <xdr:row>8</xdr:row>
      <xdr:rowOff>114300</xdr:rowOff>
    </xdr:from>
    <xdr:to>
      <xdr:col>4</xdr:col>
      <xdr:colOff>266700</xdr:colOff>
      <xdr:row>20</xdr:row>
      <xdr:rowOff>82550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88900</xdr:colOff>
      <xdr:row>8</xdr:row>
      <xdr:rowOff>169334</xdr:rowOff>
    </xdr:from>
    <xdr:to>
      <xdr:col>2</xdr:col>
      <xdr:colOff>141111</xdr:colOff>
      <xdr:row>20</xdr:row>
      <xdr:rowOff>139701</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11</xdr:col>
      <xdr:colOff>114300</xdr:colOff>
      <xdr:row>0</xdr:row>
      <xdr:rowOff>12700</xdr:rowOff>
    </xdr:from>
    <xdr:to>
      <xdr:col>13</xdr:col>
      <xdr:colOff>342900</xdr:colOff>
      <xdr:row>8</xdr:row>
      <xdr:rowOff>12699</xdr:rowOff>
    </xdr:to>
    <mc:AlternateContent xmlns:mc="http://schemas.openxmlformats.org/markup-compatibility/2006" xmlns:a14="http://schemas.microsoft.com/office/drawing/2010/main">
      <mc:Choice Requires="a14">
        <xdr:graphicFrame macro="">
          <xdr:nvGraphicFramePr>
            <xdr:cNvPr id="6" name="Employee Name"/>
            <xdr:cNvGraphicFramePr/>
          </xdr:nvGraphicFramePr>
          <xdr:xfrm>
            <a:off x="0" y="0"/>
            <a:ext cx="0" cy="0"/>
          </xdr:xfrm>
          <a:graphic>
            <a:graphicData uri="http://schemas.microsoft.com/office/drawing/2010/slicer">
              <sle:slicer xmlns:sle="http://schemas.microsoft.com/office/drawing/2010/slicer" name="Employee Name"/>
            </a:graphicData>
          </a:graphic>
        </xdr:graphicFrame>
      </mc:Choice>
      <mc:Fallback xmlns="">
        <xdr:sp macro="" textlink="">
          <xdr:nvSpPr>
            <xdr:cNvPr id="0" name=""/>
            <xdr:cNvSpPr>
              <a:spLocks noTextEdit="1"/>
            </xdr:cNvSpPr>
          </xdr:nvSpPr>
          <xdr:spPr>
            <a:xfrm>
              <a:off x="10627078" y="12700"/>
              <a:ext cx="1442155" cy="146755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133350</xdr:colOff>
      <xdr:row>8</xdr:row>
      <xdr:rowOff>107950</xdr:rowOff>
    </xdr:from>
    <xdr:to>
      <xdr:col>13</xdr:col>
      <xdr:colOff>12700</xdr:colOff>
      <xdr:row>15</xdr:row>
      <xdr:rowOff>126999</xdr:rowOff>
    </xdr:to>
    <mc:AlternateContent xmlns:mc="http://schemas.openxmlformats.org/markup-compatibility/2006" xmlns:a14="http://schemas.microsoft.com/office/drawing/2010/main">
      <mc:Choice Requires="a14">
        <xdr:graphicFrame macro="">
          <xdr:nvGraphicFramePr>
            <xdr:cNvPr id="7" name="Department"/>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0646128" y="1575506"/>
              <a:ext cx="1092905" cy="1303160"/>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28928</xdr:colOff>
      <xdr:row>16</xdr:row>
      <xdr:rowOff>34573</xdr:rowOff>
    </xdr:from>
    <xdr:to>
      <xdr:col>13</xdr:col>
      <xdr:colOff>515056</xdr:colOff>
      <xdr:row>22</xdr:row>
      <xdr:rowOff>40923</xdr:rowOff>
    </xdr:to>
    <mc:AlternateContent xmlns:mc="http://schemas.openxmlformats.org/markup-compatibility/2006" xmlns:a14="http://schemas.microsoft.com/office/drawing/2010/main">
      <mc:Choice Requires="a14">
        <xdr:graphicFrame macro="">
          <xdr:nvGraphicFramePr>
            <xdr:cNvPr id="8" name="Date"/>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mlns="">
        <xdr:sp macro="" textlink="">
          <xdr:nvSpPr>
            <xdr:cNvPr id="0" name=""/>
            <xdr:cNvSpPr>
              <a:spLocks noTextEdit="1"/>
            </xdr:cNvSpPr>
          </xdr:nvSpPr>
          <xdr:spPr>
            <a:xfrm>
              <a:off x="10541706" y="2969684"/>
              <a:ext cx="1699683" cy="1107017"/>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xdr:from>
      <xdr:col>5</xdr:col>
      <xdr:colOff>73025</xdr:colOff>
      <xdr:row>8</xdr:row>
      <xdr:rowOff>158749</xdr:rowOff>
    </xdr:from>
    <xdr:to>
      <xdr:col>8</xdr:col>
      <xdr:colOff>355600</xdr:colOff>
      <xdr:row>20</xdr:row>
      <xdr:rowOff>114300</xdr:rowOff>
    </xdr:to>
    <xdr:graphicFrame macro="">
      <xdr:nvGraphicFramePr>
        <xdr:cNvPr id="9" name="Chart 8"/>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l Hafiz Enterprises" refreshedDate="46025.83941724537" createdVersion="4" refreshedVersion="4" minRefreshableVersion="3" recordCount="12">
  <cacheSource type="worksheet">
    <worksheetSource name="Table1"/>
  </cacheSource>
  <cacheFields count="9">
    <cacheField name="Employee ID" numFmtId="0">
      <sharedItems containsSemiMixedTypes="0" containsString="0" containsNumber="1" containsInteger="1" minValue="101" maxValue="104"/>
    </cacheField>
    <cacheField name="Employee Name" numFmtId="0">
      <sharedItems count="4">
        <s v="Ali"/>
        <s v="Sara"/>
        <s v="Ahmed"/>
        <s v="Ayesha"/>
      </sharedItems>
    </cacheField>
    <cacheField name="Department" numFmtId="0">
      <sharedItems count="3">
        <s v="Finance"/>
        <s v="HR"/>
        <s v="IT"/>
      </sharedItems>
    </cacheField>
    <cacheField name="Date" numFmtId="0">
      <sharedItems count="3">
        <s v="2025-01-01"/>
        <s v="2025-01-02"/>
        <s v="2025-01-03"/>
      </sharedItems>
    </cacheField>
    <cacheField name="Status" numFmtId="0">
      <sharedItems count="3">
        <s v="Present"/>
        <s v="Absent"/>
        <s v="Late"/>
      </sharedItems>
    </cacheField>
    <cacheField name="Check In Time" numFmtId="0">
      <sharedItems/>
    </cacheField>
    <cacheField name="Check Out Time" numFmtId="0">
      <sharedItems/>
    </cacheField>
    <cacheField name="Working Hours" numFmtId="20">
      <sharedItems containsSemiMixedTypes="0" containsNonDate="0" containsDate="1" containsString="0" minDate="1899-12-30T00:00:00" maxDate="1899-12-30T08:20:00"/>
    </cacheField>
    <cacheField name="Attendence Flag" numFmtId="0">
      <sharedItems containsSemiMixedTypes="0" containsString="0" containsNumber="1" containsInteger="1" minValue="0" maxValue="1"/>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2">
  <r>
    <n v="101"/>
    <x v="0"/>
    <x v="0"/>
    <x v="0"/>
    <x v="0"/>
    <s v="09:00"/>
    <s v="17:00"/>
    <d v="1899-12-30T08:00:00"/>
    <n v="1"/>
  </r>
  <r>
    <n v="102"/>
    <x v="1"/>
    <x v="1"/>
    <x v="0"/>
    <x v="0"/>
    <s v="09:15"/>
    <s v="17:10"/>
    <d v="1899-12-30T07:55:00"/>
    <n v="1"/>
  </r>
  <r>
    <n v="103"/>
    <x v="2"/>
    <x v="2"/>
    <x v="0"/>
    <x v="1"/>
    <s v="NA"/>
    <s v="NA"/>
    <d v="1899-12-30T00:00:00"/>
    <n v="0"/>
  </r>
  <r>
    <n v="104"/>
    <x v="3"/>
    <x v="0"/>
    <x v="0"/>
    <x v="0"/>
    <s v="08:55"/>
    <s v="17:05"/>
    <d v="1899-12-30T08:10:00"/>
    <n v="1"/>
  </r>
  <r>
    <n v="101"/>
    <x v="0"/>
    <x v="0"/>
    <x v="1"/>
    <x v="2"/>
    <s v="09:40"/>
    <s v="17:00"/>
    <d v="1899-12-30T07:20:00"/>
    <n v="0"/>
  </r>
  <r>
    <n v="102"/>
    <x v="1"/>
    <x v="1"/>
    <x v="1"/>
    <x v="0"/>
    <s v="09:05"/>
    <s v="17:00"/>
    <d v="1899-12-30T07:55:00"/>
    <n v="1"/>
  </r>
  <r>
    <n v="103"/>
    <x v="2"/>
    <x v="2"/>
    <x v="1"/>
    <x v="0"/>
    <s v="09:00"/>
    <s v="17:20"/>
    <d v="1899-12-30T08:20:00"/>
    <n v="1"/>
  </r>
  <r>
    <n v="104"/>
    <x v="3"/>
    <x v="0"/>
    <x v="1"/>
    <x v="1"/>
    <s v="NA"/>
    <s v="NA"/>
    <d v="1899-12-30T00:00:00"/>
    <n v="0"/>
  </r>
  <r>
    <n v="101"/>
    <x v="0"/>
    <x v="0"/>
    <x v="2"/>
    <x v="0"/>
    <s v="09:00"/>
    <s v="17:00"/>
    <d v="1899-12-30T08:00:00"/>
    <n v="1"/>
  </r>
  <r>
    <n v="102"/>
    <x v="1"/>
    <x v="1"/>
    <x v="2"/>
    <x v="2"/>
    <s v="09:35"/>
    <s v="17:10"/>
    <d v="1899-12-30T07:35:00"/>
    <n v="0"/>
  </r>
  <r>
    <n v="103"/>
    <x v="2"/>
    <x v="2"/>
    <x v="2"/>
    <x v="0"/>
    <s v="09:10"/>
    <s v="17:15"/>
    <d v="1899-12-30T08:05:00"/>
    <n v="1"/>
  </r>
  <r>
    <n v="104"/>
    <x v="3"/>
    <x v="0"/>
    <x v="2"/>
    <x v="0"/>
    <s v="09:00"/>
    <s v="17:00"/>
    <d v="1899-12-30T08:00:00"/>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3" cacheId="8"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4" rowHeaderCaption="Late Employes">
  <location ref="G3:H6" firstHeaderRow="1" firstDataRow="1" firstDataCol="1" rowPageCount="1" colPageCount="1"/>
  <pivotFields count="9">
    <pivotField showAll="0"/>
    <pivotField axis="axisRow" showAll="0">
      <items count="5">
        <item x="2"/>
        <item x="0"/>
        <item x="3"/>
        <item x="1"/>
        <item t="default"/>
      </items>
    </pivotField>
    <pivotField showAll="0"/>
    <pivotField showAll="0"/>
    <pivotField axis="axisPage" dataField="1" showAll="0">
      <items count="4">
        <item x="1"/>
        <item x="2"/>
        <item x="0"/>
        <item t="default"/>
      </items>
    </pivotField>
    <pivotField showAll="0"/>
    <pivotField showAll="0"/>
    <pivotField numFmtId="20" showAll="0"/>
    <pivotField showAll="0"/>
  </pivotFields>
  <rowFields count="1">
    <field x="1"/>
  </rowFields>
  <rowItems count="3">
    <i>
      <x v="1"/>
    </i>
    <i>
      <x v="3"/>
    </i>
    <i t="grand">
      <x/>
    </i>
  </rowItems>
  <colItems count="1">
    <i/>
  </colItems>
  <pageFields count="1">
    <pageField fld="4" item="1" hier="-1"/>
  </pageFields>
  <dataFields count="1">
    <dataField name="Count of Status" fld="4" subtotal="count" baseField="0" baseItem="0"/>
  </dataFields>
  <chartFormats count="4">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8"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1" rowHeaderCaption="Present Attendence by Department">
  <location ref="D3:E7" firstHeaderRow="1" firstDataRow="1" firstDataCol="1" rowPageCount="1" colPageCount="1"/>
  <pivotFields count="9">
    <pivotField showAll="0"/>
    <pivotField showAll="0"/>
    <pivotField axis="axisRow" showAll="0">
      <items count="4">
        <item x="0"/>
        <item x="1"/>
        <item x="2"/>
        <item t="default"/>
      </items>
    </pivotField>
    <pivotField showAll="0"/>
    <pivotField axis="axisPage" dataField="1" showAll="0">
      <items count="4">
        <item x="1"/>
        <item x="2"/>
        <item x="0"/>
        <item t="default"/>
      </items>
    </pivotField>
    <pivotField showAll="0"/>
    <pivotField showAll="0"/>
    <pivotField numFmtId="20" showAll="0"/>
    <pivotField showAll="0"/>
  </pivotFields>
  <rowFields count="1">
    <field x="2"/>
  </rowFields>
  <rowItems count="4">
    <i>
      <x/>
    </i>
    <i>
      <x v="1"/>
    </i>
    <i>
      <x v="2"/>
    </i>
    <i t="grand">
      <x/>
    </i>
  </rowItems>
  <colItems count="1">
    <i/>
  </colItems>
  <pageFields count="1">
    <pageField fld="4" item="2" hier="-1"/>
  </pageFields>
  <dataFields count="1">
    <dataField name="Count of Status" fld="4"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 cacheId="8"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1" rowHeaderCaption="Present Employes">
  <location ref="A3:B8" firstHeaderRow="1" firstDataRow="1" firstDataCol="1" rowPageCount="1" colPageCount="1"/>
  <pivotFields count="9">
    <pivotField showAll="0"/>
    <pivotField axis="axisRow" showAll="0">
      <items count="5">
        <item x="2"/>
        <item x="0"/>
        <item x="3"/>
        <item x="1"/>
        <item t="default"/>
      </items>
    </pivotField>
    <pivotField showAll="0">
      <items count="4">
        <item x="0"/>
        <item x="1"/>
        <item x="2"/>
        <item t="default"/>
      </items>
    </pivotField>
    <pivotField showAll="0">
      <items count="4">
        <item x="0"/>
        <item x="1"/>
        <item x="2"/>
        <item t="default"/>
      </items>
    </pivotField>
    <pivotField axis="axisPage" dataField="1" showAll="0">
      <items count="4">
        <item x="1"/>
        <item x="2"/>
        <item x="0"/>
        <item t="default"/>
      </items>
    </pivotField>
    <pivotField showAll="0"/>
    <pivotField showAll="0"/>
    <pivotField numFmtId="20" showAll="0"/>
    <pivotField showAll="0"/>
  </pivotFields>
  <rowFields count="1">
    <field x="1"/>
  </rowFields>
  <rowItems count="5">
    <i>
      <x/>
    </i>
    <i>
      <x v="1"/>
    </i>
    <i>
      <x v="2"/>
    </i>
    <i>
      <x v="3"/>
    </i>
    <i t="grand">
      <x/>
    </i>
  </rowItems>
  <colItems count="1">
    <i/>
  </colItems>
  <pageFields count="1">
    <pageField fld="4" item="2" hier="-1"/>
  </pageFields>
  <dataFields count="1">
    <dataField name="Count of Present" fld="4" subtotal="count" baseField="1"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Employee_Name" sourceName="Employee Name">
  <pivotTables>
    <pivotTable tabId="2" name="PivotTable1"/>
  </pivotTables>
  <data>
    <tabular pivotCacheId="1">
      <items count="4">
        <i x="2" s="1"/>
        <i x="0"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Department" sourceName="Department">
  <pivotTables>
    <pivotTable tabId="2" name="PivotTable1"/>
  </pivotTables>
  <data>
    <tabular pivotCacheId="1">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Date" sourceName="Date">
  <pivotTables>
    <pivotTable tabId="2" name="PivotTable1"/>
  </pivotTables>
  <data>
    <tabular pivotCacheId="1">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Employee Name" cache="Slicer_Employee_Name" caption="Employee Name" rowHeight="241300"/>
  <slicer name="Department" cache="Slicer_Department" caption="Department" rowHeight="241300"/>
  <slicer name="Date" cache="Slicer_Date" caption="Date" rowHeight="241300"/>
</slicers>
</file>

<file path=xl/tables/table1.xml><?xml version="1.0" encoding="utf-8"?>
<table xmlns="http://schemas.openxmlformats.org/spreadsheetml/2006/main" id="1" name="Table1" displayName="Table1" ref="A1:I13" totalsRowShown="0">
  <autoFilter ref="A1:I13"/>
  <tableColumns count="9">
    <tableColumn id="1" name="Employee ID"/>
    <tableColumn id="2" name="Employee Name"/>
    <tableColumn id="3" name="Department"/>
    <tableColumn id="4" name="Date"/>
    <tableColumn id="5" name="Status"/>
    <tableColumn id="6" name="Check In Time"/>
    <tableColumn id="7" name="Check Out Time"/>
    <tableColumn id="8" name="Working Hours" dataDxfId="1">
      <calculatedColumnFormula>IF(E2="Absent",0,G2-F2)</calculatedColumnFormula>
    </tableColumn>
    <tableColumn id="9" name="Attendence Flag" dataDxfId="0">
      <calculatedColumnFormula>IF(E2="Present",1,0)</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8"/>
  <sheetViews>
    <sheetView zoomScale="90" zoomScaleNormal="90" workbookViewId="0">
      <selection activeCell="O26" sqref="O26"/>
    </sheetView>
  </sheetViews>
  <sheetFormatPr defaultRowHeight="14.5" x14ac:dyDescent="0.35"/>
  <cols>
    <col min="1" max="1" width="18.08984375" customWidth="1"/>
    <col min="2" max="2" width="15.08984375" customWidth="1"/>
    <col min="4" max="4" width="30.90625" customWidth="1"/>
    <col min="5" max="5" width="13.90625" bestFit="1" customWidth="1"/>
    <col min="7" max="7" width="15.1796875" customWidth="1"/>
    <col min="8" max="8" width="13.90625" customWidth="1"/>
  </cols>
  <sheetData>
    <row r="1" spans="1:8" x14ac:dyDescent="0.35">
      <c r="A1" s="4" t="s">
        <v>4</v>
      </c>
      <c r="B1" t="s">
        <v>10</v>
      </c>
      <c r="D1" s="4" t="s">
        <v>4</v>
      </c>
      <c r="E1" t="s">
        <v>10</v>
      </c>
      <c r="G1" s="4" t="s">
        <v>4</v>
      </c>
      <c r="H1" t="s">
        <v>24</v>
      </c>
    </row>
    <row r="3" spans="1:8" x14ac:dyDescent="0.35">
      <c r="A3" s="4" t="s">
        <v>38</v>
      </c>
      <c r="B3" t="s">
        <v>37</v>
      </c>
      <c r="D3" s="4" t="s">
        <v>39</v>
      </c>
      <c r="E3" t="s">
        <v>36</v>
      </c>
      <c r="G3" s="4" t="s">
        <v>40</v>
      </c>
      <c r="H3" t="s">
        <v>36</v>
      </c>
    </row>
    <row r="4" spans="1:8" x14ac:dyDescent="0.35">
      <c r="A4" s="5" t="s">
        <v>17</v>
      </c>
      <c r="B4" s="6">
        <v>2</v>
      </c>
      <c r="D4" s="5" t="s">
        <v>8</v>
      </c>
      <c r="E4" s="6">
        <v>4</v>
      </c>
      <c r="G4" s="5" t="s">
        <v>7</v>
      </c>
      <c r="H4" s="6">
        <v>1</v>
      </c>
    </row>
    <row r="5" spans="1:8" x14ac:dyDescent="0.35">
      <c r="A5" s="5" t="s">
        <v>7</v>
      </c>
      <c r="B5" s="6">
        <v>2</v>
      </c>
      <c r="D5" s="5" t="s">
        <v>14</v>
      </c>
      <c r="E5" s="6">
        <v>2</v>
      </c>
      <c r="G5" s="5" t="s">
        <v>13</v>
      </c>
      <c r="H5" s="6">
        <v>1</v>
      </c>
    </row>
    <row r="6" spans="1:8" x14ac:dyDescent="0.35">
      <c r="A6" s="5" t="s">
        <v>20</v>
      </c>
      <c r="B6" s="6">
        <v>2</v>
      </c>
      <c r="D6" s="5" t="s">
        <v>18</v>
      </c>
      <c r="E6" s="6">
        <v>2</v>
      </c>
      <c r="G6" s="5" t="s">
        <v>35</v>
      </c>
      <c r="H6" s="6">
        <v>2</v>
      </c>
    </row>
    <row r="7" spans="1:8" x14ac:dyDescent="0.35">
      <c r="A7" s="5" t="s">
        <v>13</v>
      </c>
      <c r="B7" s="6">
        <v>2</v>
      </c>
      <c r="D7" s="5" t="s">
        <v>35</v>
      </c>
      <c r="E7" s="6">
        <v>8</v>
      </c>
    </row>
    <row r="8" spans="1:8" x14ac:dyDescent="0.35">
      <c r="A8" s="5" t="s">
        <v>35</v>
      </c>
      <c r="B8" s="6">
        <v>8</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3"/>
  <sheetViews>
    <sheetView tabSelected="1" workbookViewId="0">
      <selection activeCell="N24" sqref="N24"/>
    </sheetView>
  </sheetViews>
  <sheetFormatPr defaultRowHeight="14.5" x14ac:dyDescent="0.35"/>
  <cols>
    <col min="1" max="1" width="13.26953125" customWidth="1"/>
    <col min="2" max="2" width="16.36328125" customWidth="1"/>
    <col min="3" max="3" width="13.08984375" customWidth="1"/>
    <col min="4" max="4" width="12.1796875" customWidth="1"/>
    <col min="5" max="5" width="10.54296875" customWidth="1"/>
    <col min="6" max="6" width="14.453125" customWidth="1"/>
    <col min="7" max="7" width="16" customWidth="1"/>
    <col min="8" max="8" width="15.7265625" bestFit="1" customWidth="1"/>
    <col min="9" max="9" width="16.6328125" bestFit="1" customWidth="1"/>
  </cols>
  <sheetData>
    <row r="1" spans="1:9" x14ac:dyDescent="0.35">
      <c r="A1" t="s">
        <v>0</v>
      </c>
      <c r="B1" t="s">
        <v>1</v>
      </c>
      <c r="C1" t="s">
        <v>2</v>
      </c>
      <c r="D1" s="2" t="s">
        <v>3</v>
      </c>
      <c r="E1" t="s">
        <v>4</v>
      </c>
      <c r="F1" s="1" t="s">
        <v>5</v>
      </c>
      <c r="G1" s="1" t="s">
        <v>6</v>
      </c>
      <c r="H1" s="3" t="s">
        <v>33</v>
      </c>
      <c r="I1" t="s">
        <v>34</v>
      </c>
    </row>
    <row r="2" spans="1:9" x14ac:dyDescent="0.35">
      <c r="A2">
        <v>101</v>
      </c>
      <c r="B2" t="s">
        <v>7</v>
      </c>
      <c r="C2" t="s">
        <v>8</v>
      </c>
      <c r="D2" t="s">
        <v>9</v>
      </c>
      <c r="E2" t="s">
        <v>10</v>
      </c>
      <c r="F2" t="s">
        <v>11</v>
      </c>
      <c r="G2" t="s">
        <v>12</v>
      </c>
      <c r="H2" s="3">
        <f t="shared" ref="H2:H13" si="0">IF(E2="Absent",0,G2-F2)</f>
        <v>0.33333333333333337</v>
      </c>
      <c r="I2">
        <f t="shared" ref="I2:I13" si="1">IF(E2="Present",1,0)</f>
        <v>1</v>
      </c>
    </row>
    <row r="3" spans="1:9" x14ac:dyDescent="0.35">
      <c r="A3">
        <v>102</v>
      </c>
      <c r="B3" t="s">
        <v>13</v>
      </c>
      <c r="C3" t="s">
        <v>14</v>
      </c>
      <c r="D3" t="s">
        <v>9</v>
      </c>
      <c r="E3" t="s">
        <v>10</v>
      </c>
      <c r="F3" t="s">
        <v>15</v>
      </c>
      <c r="G3" t="s">
        <v>16</v>
      </c>
      <c r="H3" s="3">
        <f t="shared" si="0"/>
        <v>0.3298611111111111</v>
      </c>
      <c r="I3">
        <f t="shared" si="1"/>
        <v>1</v>
      </c>
    </row>
    <row r="4" spans="1:9" x14ac:dyDescent="0.35">
      <c r="A4">
        <v>103</v>
      </c>
      <c r="B4" t="s">
        <v>17</v>
      </c>
      <c r="C4" t="s">
        <v>18</v>
      </c>
      <c r="D4" t="s">
        <v>9</v>
      </c>
      <c r="E4" t="s">
        <v>19</v>
      </c>
      <c r="F4" t="s">
        <v>32</v>
      </c>
      <c r="G4" t="s">
        <v>32</v>
      </c>
      <c r="H4" s="3">
        <f t="shared" si="0"/>
        <v>0</v>
      </c>
      <c r="I4">
        <f t="shared" si="1"/>
        <v>0</v>
      </c>
    </row>
    <row r="5" spans="1:9" x14ac:dyDescent="0.35">
      <c r="A5">
        <v>104</v>
      </c>
      <c r="B5" t="s">
        <v>20</v>
      </c>
      <c r="C5" t="s">
        <v>8</v>
      </c>
      <c r="D5" t="s">
        <v>9</v>
      </c>
      <c r="E5" t="s">
        <v>10</v>
      </c>
      <c r="F5" t="s">
        <v>21</v>
      </c>
      <c r="G5" t="s">
        <v>22</v>
      </c>
      <c r="H5" s="3">
        <f t="shared" si="0"/>
        <v>0.34027777777777773</v>
      </c>
      <c r="I5">
        <f t="shared" si="1"/>
        <v>1</v>
      </c>
    </row>
    <row r="6" spans="1:9" x14ac:dyDescent="0.35">
      <c r="A6">
        <v>101</v>
      </c>
      <c r="B6" t="s">
        <v>7</v>
      </c>
      <c r="C6" t="s">
        <v>8</v>
      </c>
      <c r="D6" t="s">
        <v>23</v>
      </c>
      <c r="E6" t="s">
        <v>24</v>
      </c>
      <c r="F6" t="s">
        <v>25</v>
      </c>
      <c r="G6" t="s">
        <v>12</v>
      </c>
      <c r="H6" s="3">
        <f t="shared" si="0"/>
        <v>0.30555555555555564</v>
      </c>
      <c r="I6">
        <f t="shared" si="1"/>
        <v>0</v>
      </c>
    </row>
    <row r="7" spans="1:9" x14ac:dyDescent="0.35">
      <c r="A7">
        <v>102</v>
      </c>
      <c r="B7" t="s">
        <v>13</v>
      </c>
      <c r="C7" t="s">
        <v>14</v>
      </c>
      <c r="D7" t="s">
        <v>23</v>
      </c>
      <c r="E7" t="s">
        <v>10</v>
      </c>
      <c r="F7" t="s">
        <v>26</v>
      </c>
      <c r="G7" t="s">
        <v>12</v>
      </c>
      <c r="H7" s="3">
        <f t="shared" si="0"/>
        <v>0.3298611111111111</v>
      </c>
      <c r="I7">
        <f t="shared" si="1"/>
        <v>1</v>
      </c>
    </row>
    <row r="8" spans="1:9" x14ac:dyDescent="0.35">
      <c r="A8">
        <v>103</v>
      </c>
      <c r="B8" t="s">
        <v>17</v>
      </c>
      <c r="C8" t="s">
        <v>18</v>
      </c>
      <c r="D8" t="s">
        <v>23</v>
      </c>
      <c r="E8" t="s">
        <v>10</v>
      </c>
      <c r="F8" t="s">
        <v>11</v>
      </c>
      <c r="G8" t="s">
        <v>27</v>
      </c>
      <c r="H8" s="3">
        <f t="shared" si="0"/>
        <v>0.34722222222222221</v>
      </c>
      <c r="I8">
        <f t="shared" si="1"/>
        <v>1</v>
      </c>
    </row>
    <row r="9" spans="1:9" x14ac:dyDescent="0.35">
      <c r="A9">
        <v>104</v>
      </c>
      <c r="B9" t="s">
        <v>20</v>
      </c>
      <c r="C9" t="s">
        <v>8</v>
      </c>
      <c r="D9" t="s">
        <v>23</v>
      </c>
      <c r="E9" t="s">
        <v>19</v>
      </c>
      <c r="F9" t="s">
        <v>32</v>
      </c>
      <c r="G9" t="s">
        <v>32</v>
      </c>
      <c r="H9" s="3">
        <f t="shared" si="0"/>
        <v>0</v>
      </c>
      <c r="I9">
        <f t="shared" si="1"/>
        <v>0</v>
      </c>
    </row>
    <row r="10" spans="1:9" x14ac:dyDescent="0.35">
      <c r="A10">
        <v>101</v>
      </c>
      <c r="B10" t="s">
        <v>7</v>
      </c>
      <c r="C10" t="s">
        <v>8</v>
      </c>
      <c r="D10" t="s">
        <v>28</v>
      </c>
      <c r="E10" t="s">
        <v>10</v>
      </c>
      <c r="F10" t="s">
        <v>11</v>
      </c>
      <c r="G10" t="s">
        <v>12</v>
      </c>
      <c r="H10" s="3">
        <f t="shared" si="0"/>
        <v>0.33333333333333337</v>
      </c>
      <c r="I10">
        <f t="shared" si="1"/>
        <v>1</v>
      </c>
    </row>
    <row r="11" spans="1:9" x14ac:dyDescent="0.35">
      <c r="A11">
        <v>102</v>
      </c>
      <c r="B11" t="s">
        <v>13</v>
      </c>
      <c r="C11" t="s">
        <v>14</v>
      </c>
      <c r="D11" t="s">
        <v>28</v>
      </c>
      <c r="E11" t="s">
        <v>24</v>
      </c>
      <c r="F11" t="s">
        <v>29</v>
      </c>
      <c r="G11" t="s">
        <v>16</v>
      </c>
      <c r="H11" s="3">
        <f t="shared" si="0"/>
        <v>0.31597222222222221</v>
      </c>
      <c r="I11">
        <f t="shared" si="1"/>
        <v>0</v>
      </c>
    </row>
    <row r="12" spans="1:9" x14ac:dyDescent="0.35">
      <c r="A12">
        <v>103</v>
      </c>
      <c r="B12" t="s">
        <v>17</v>
      </c>
      <c r="C12" t="s">
        <v>18</v>
      </c>
      <c r="D12" t="s">
        <v>28</v>
      </c>
      <c r="E12" t="s">
        <v>10</v>
      </c>
      <c r="F12" t="s">
        <v>30</v>
      </c>
      <c r="G12" t="s">
        <v>31</v>
      </c>
      <c r="H12" s="3">
        <f t="shared" si="0"/>
        <v>0.33680555555555558</v>
      </c>
      <c r="I12">
        <f t="shared" si="1"/>
        <v>1</v>
      </c>
    </row>
    <row r="13" spans="1:9" x14ac:dyDescent="0.35">
      <c r="A13">
        <v>104</v>
      </c>
      <c r="B13" t="s">
        <v>20</v>
      </c>
      <c r="C13" t="s">
        <v>8</v>
      </c>
      <c r="D13" t="s">
        <v>28</v>
      </c>
      <c r="E13" t="s">
        <v>10</v>
      </c>
      <c r="F13" t="s">
        <v>11</v>
      </c>
      <c r="G13" t="s">
        <v>12</v>
      </c>
      <c r="H13" s="3">
        <f t="shared" si="0"/>
        <v>0.33333333333333337</v>
      </c>
      <c r="I13">
        <f t="shared" si="1"/>
        <v>1</v>
      </c>
    </row>
  </sheetData>
  <dataValidations count="1">
    <dataValidation type="list" allowBlank="1" showInputMessage="1" showErrorMessage="1" sqref="E1:E13">
      <formula1>"Present,Absent,Late"</formula1>
    </dataValidation>
  </dataValidations>
  <pageMargins left="0.75" right="0.75" top="1" bottom="1" header="0.5" footer="0.5"/>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Pivot Tables</vt:lpstr>
      <vt:lpstr>Attendance 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 Hafiz Enterprises</cp:lastModifiedBy>
  <dcterms:created xsi:type="dcterms:W3CDTF">2026-01-04T03:18:53Z</dcterms:created>
  <dcterms:modified xsi:type="dcterms:W3CDTF">2026-01-04T06:17:42Z</dcterms:modified>
</cp:coreProperties>
</file>